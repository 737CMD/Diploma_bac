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tsagi_dipl\Diploma_bac\results\meshconv\"/>
    </mc:Choice>
  </mc:AlternateContent>
  <xr:revisionPtr revIDLastSave="0" documentId="13_ncr:1_{76779A97-41BB-4DCF-9686-4488638958B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" i="1" l="1"/>
  <c r="K12" i="1"/>
  <c r="I12" i="1"/>
  <c r="H12" i="1"/>
  <c r="L11" i="1"/>
  <c r="K11" i="1"/>
  <c r="I11" i="1"/>
  <c r="H11" i="1"/>
  <c r="L10" i="1"/>
  <c r="K10" i="1"/>
  <c r="I10" i="1"/>
  <c r="H10" i="1"/>
  <c r="L9" i="1"/>
  <c r="K9" i="1"/>
  <c r="I9" i="1"/>
  <c r="H9" i="1"/>
  <c r="G9" i="1"/>
  <c r="L8" i="1"/>
  <c r="K8" i="1"/>
  <c r="I8" i="1"/>
  <c r="H8" i="1"/>
  <c r="G8" i="1"/>
  <c r="L7" i="1"/>
  <c r="K7" i="1"/>
  <c r="I7" i="1"/>
  <c r="H7" i="1"/>
  <c r="G7" i="1"/>
  <c r="L6" i="1"/>
  <c r="K6" i="1"/>
  <c r="I6" i="1"/>
  <c r="H6" i="1"/>
  <c r="G6" i="1"/>
  <c r="L5" i="1"/>
  <c r="K5" i="1"/>
  <c r="I5" i="1"/>
  <c r="H5" i="1"/>
  <c r="G5" i="1"/>
  <c r="L4" i="1"/>
  <c r="K4" i="1"/>
  <c r="I4" i="1"/>
  <c r="H4" i="1"/>
  <c r="G4" i="1"/>
  <c r="L3" i="1"/>
  <c r="K3" i="1"/>
  <c r="I3" i="1"/>
  <c r="H3" i="1"/>
  <c r="G3" i="1"/>
  <c r="L2" i="1"/>
  <c r="K2" i="1"/>
  <c r="I2" i="1"/>
  <c r="H2" i="1"/>
  <c r="G2" i="1"/>
</calcChain>
</file>

<file path=xl/sharedStrings.xml><?xml version="1.0" encoding="utf-8"?>
<sst xmlns="http://schemas.openxmlformats.org/spreadsheetml/2006/main" count="15" uniqueCount="14">
  <si>
    <t xml:space="preserve">Case 6 </t>
  </si>
  <si>
    <t>Cya</t>
  </si>
  <si>
    <t>Nodes*1000</t>
  </si>
  <si>
    <t>Cxa</t>
  </si>
  <si>
    <t>Error Cxa (counts)</t>
  </si>
  <si>
    <t>Rel. error  (Cxa)</t>
  </si>
  <si>
    <t xml:space="preserve">mz </t>
  </si>
  <si>
    <t>error  (counts)</t>
  </si>
  <si>
    <t>Rel. error (mz)</t>
  </si>
  <si>
    <t>RANS-SA</t>
  </si>
  <si>
    <t>pressure</t>
  </si>
  <si>
    <t>mz</t>
  </si>
  <si>
    <t>density</t>
  </si>
  <si>
    <t xml:space="preserve">Графики сходимости - приложены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</si>
</sst>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Arial" panose="020B0604020202020204" pitchFamily="7" charset="0"/>
                <a:cs typeface="Times New Roman" panose="02020603050405020304" pitchFamily="18" charset="0"/>
                <a:sym typeface="Arial" panose="020B0604020202020204" pitchFamily="7" charset="0"/>
              </a:defRPr>
            </a:pPr>
            <a:r>
              <a:rPr lang="ru-RU" altLang="en-US" sz="1600">
                <a:latin typeface="Times New Roman" panose="02020603050405020304" pitchFamily="18" charset="0"/>
                <a:ea typeface="Arial" panose="020B0604020202020204" pitchFamily="7" charset="0"/>
                <a:cs typeface="Times New Roman" panose="02020603050405020304" pitchFamily="18" charset="0"/>
                <a:sym typeface="Arial" panose="020B0604020202020204" pitchFamily="7" charset="0"/>
              </a:rPr>
              <a:t>Сеточная сходимость</a:t>
            </a:r>
            <a:r>
              <a:rPr lang="ru-RU" altLang="en-US" sz="1600" baseline="0">
                <a:latin typeface="Times New Roman" panose="02020603050405020304" pitchFamily="18" charset="0"/>
                <a:ea typeface="Arial" panose="020B0604020202020204" pitchFamily="7" charset="0"/>
                <a:cs typeface="Times New Roman" panose="02020603050405020304" pitchFamily="18" charset="0"/>
                <a:sym typeface="Arial" panose="020B0604020202020204" pitchFamily="7" charset="0"/>
              </a:rPr>
              <a:t> п</a:t>
            </a:r>
            <a:r>
              <a:rPr lang="ru-RU" altLang="en-US" sz="1600">
                <a:latin typeface="Times New Roman" panose="02020603050405020304" pitchFamily="18" charset="0"/>
                <a:ea typeface="Arial" panose="020B0604020202020204" pitchFamily="7" charset="0"/>
                <a:cs typeface="Times New Roman" panose="02020603050405020304" pitchFamily="18" charset="0"/>
                <a:sym typeface="Arial" panose="020B0604020202020204" pitchFamily="7" charset="0"/>
              </a:rPr>
              <a:t>ри расчете обтекания </a:t>
            </a:r>
            <a:r>
              <a:rPr lang="en-US" altLang="ru-RU" sz="1600">
                <a:latin typeface="Times New Roman" panose="02020603050405020304" pitchFamily="18" charset="0"/>
                <a:ea typeface="Arial" panose="020B0604020202020204" pitchFamily="7" charset="0"/>
                <a:cs typeface="Times New Roman" panose="02020603050405020304" pitchFamily="18" charset="0"/>
                <a:sym typeface="Arial" panose="020B0604020202020204" pitchFamily="7" charset="0"/>
              </a:rPr>
              <a:t>RAE2822 </a:t>
            </a:r>
          </a:p>
        </c:rich>
      </c:tx>
      <c:layout>
        <c:manualLayout>
          <c:xMode val="edge"/>
          <c:yMode val="edge"/>
          <c:x val="0.222270037654653"/>
          <c:y val="2.6894865525672301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en-US" sz="16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Arial" panose="020B0604020202020204" pitchFamily="7" charset="0"/>
              <a:cs typeface="Times New Roman" panose="02020603050405020304" pitchFamily="18" charset="0"/>
              <a:sym typeface="Arial" panose="020B0604020202020204" pitchFamily="7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Относительная ошибка Cxa pres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Sheet1!$E$2:$E$9</c:f>
              <c:numCache>
                <c:formatCode>General</c:formatCode>
                <c:ptCount val="8"/>
                <c:pt idx="0">
                  <c:v>16</c:v>
                </c:pt>
                <c:pt idx="1">
                  <c:v>33</c:v>
                </c:pt>
                <c:pt idx="2">
                  <c:v>53</c:v>
                </c:pt>
                <c:pt idx="3">
                  <c:v>78</c:v>
                </c:pt>
                <c:pt idx="4">
                  <c:v>96</c:v>
                </c:pt>
                <c:pt idx="5">
                  <c:v>121</c:v>
                </c:pt>
                <c:pt idx="6">
                  <c:v>145</c:v>
                </c:pt>
                <c:pt idx="7">
                  <c:v>200</c:v>
                </c:pt>
              </c:numCache>
            </c:numRef>
          </c:xVal>
          <c:yVal>
            <c:numRef>
              <c:f>Sheet1!$G$2:$G$9</c:f>
              <c:numCache>
                <c:formatCode>General</c:formatCode>
                <c:ptCount val="8"/>
                <c:pt idx="0">
                  <c:v>134.68</c:v>
                </c:pt>
                <c:pt idx="1">
                  <c:v>122.55</c:v>
                </c:pt>
                <c:pt idx="2">
                  <c:v>121.13</c:v>
                </c:pt>
                <c:pt idx="3">
                  <c:v>121.88</c:v>
                </c:pt>
                <c:pt idx="4">
                  <c:v>121.82</c:v>
                </c:pt>
                <c:pt idx="5">
                  <c:v>121.84</c:v>
                </c:pt>
                <c:pt idx="6">
                  <c:v>121.82</c:v>
                </c:pt>
                <c:pt idx="7">
                  <c:v>121.96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9B-4833-A9CD-C2EC916F9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000989"/>
        <c:axId val="563040949"/>
      </c:scatterChart>
      <c:valAx>
        <c:axId val="561000989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Arial" panose="020B0604020202020204" pitchFamily="7" charset="0"/>
                    <a:cs typeface="Times New Roman" panose="02020603050405020304" pitchFamily="18" charset="0"/>
                    <a:sym typeface="Arial" panose="020B0604020202020204" pitchFamily="7" charset="0"/>
                  </a:defRPr>
                </a:pPr>
                <a:r>
                  <a:rPr lang="ru-RU" altLang="en-US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Количество ячеек (тысячи)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0" vertOverflow="ellipsis" vert="horz" wrap="square" anchor="ctr" anchorCtr="1"/>
            <a:lstStyle/>
            <a:p>
              <a:pPr defTabSz="914400">
                <a:defRPr lang="en-US"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Arial" panose="020B0604020202020204" pitchFamily="7" charset="0"/>
                  <a:cs typeface="Times New Roman" panose="02020603050405020304" pitchFamily="18" charset="0"/>
                  <a:sym typeface="Arial" panose="020B0604020202020204" pitchFamily="7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Arial" panose="020B0604020202020204" pitchFamily="7" charset="0"/>
                <a:cs typeface="Times New Roman" panose="02020603050405020304" pitchFamily="18" charset="0"/>
                <a:sym typeface="Arial" panose="020B0604020202020204" pitchFamily="7" charset="0"/>
              </a:defRPr>
            </a:pPr>
            <a:endParaRPr lang="en-US"/>
          </a:p>
        </c:txPr>
        <c:crossAx val="563040949"/>
        <c:crosses val="autoZero"/>
        <c:crossBetween val="midCat"/>
      </c:valAx>
      <c:valAx>
        <c:axId val="56304094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Arial" panose="020B0604020202020204" pitchFamily="7" charset="0"/>
                    <a:cs typeface="Times New Roman" panose="02020603050405020304" pitchFamily="18" charset="0"/>
                    <a:sym typeface="Arial" panose="020B0604020202020204" pitchFamily="7" charset="0"/>
                  </a:defRPr>
                </a:pPr>
                <a:r>
                  <a:rPr lang="en-US" sz="1400" b="0" i="0" u="none" strike="noStrike" baseline="0">
                    <a:effectLst/>
                    <a:sym typeface="Arial" panose="020B0604020202020204" pitchFamily="7" charset="0"/>
                  </a:rPr>
                  <a:t>С</a:t>
                </a:r>
                <a:r>
                  <a:rPr lang="en-US" sz="1400" b="0" i="0" u="none" strike="noStrike" baseline="-25000">
                    <a:effectLst/>
                    <a:sym typeface="Arial" panose="020B0604020202020204" pitchFamily="7" charset="0"/>
                  </a:rPr>
                  <a:t>xa</a:t>
                </a:r>
                <a:r>
                  <a:rPr lang="en-US" altLang="ru-R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*</a:t>
                </a:r>
                <a:r>
                  <a:rPr lang="ru-RU" altLang="ru-R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</a:t>
                </a:r>
                <a:r>
                  <a:rPr lang="en-US" altLang="ru-R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10000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 defTabSz="914400">
                <a:defRPr lang="en-US"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Arial" panose="020B0604020202020204" pitchFamily="7" charset="0"/>
                  <a:cs typeface="Times New Roman" panose="02020603050405020304" pitchFamily="18" charset="0"/>
                  <a:sym typeface="Arial" panose="020B0604020202020204" pitchFamily="7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Arial" panose="020B0604020202020204" pitchFamily="7" charset="0"/>
                <a:cs typeface="Times New Roman" panose="02020603050405020304" pitchFamily="18" charset="0"/>
                <a:sym typeface="Arial" panose="020B0604020202020204" pitchFamily="7" charset="0"/>
              </a:defRPr>
            </a:pPr>
            <a:endParaRPr lang="en-US"/>
          </a:p>
        </c:txPr>
        <c:crossAx val="56100098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7e7b9f8-eb41-4b62-a59d-3d858e62ad0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400">
          <a:latin typeface="Arial" panose="020B0604020202020204" pitchFamily="7" charset="0"/>
          <a:ea typeface="Arial" panose="020B0604020202020204" pitchFamily="7" charset="0"/>
          <a:cs typeface="Arial" panose="020B0604020202020204" pitchFamily="7" charset="0"/>
          <a:sym typeface="Arial" panose="020B0604020202020204" pitchFamily="7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r>
              <a:rPr lang="ru-RU" altLang="en-US"/>
              <a:t>Ошибка </a:t>
            </a:r>
            <a:r>
              <a:rPr lang="en-US" altLang="ru-RU"/>
              <a:t>mz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en-US" sz="168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Относительная ошибка mz pres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Sheet1!$E$2:$E$9</c:f>
              <c:numCache>
                <c:formatCode>General</c:formatCode>
                <c:ptCount val="8"/>
                <c:pt idx="0">
                  <c:v>16</c:v>
                </c:pt>
                <c:pt idx="1">
                  <c:v>33</c:v>
                </c:pt>
                <c:pt idx="2">
                  <c:v>53</c:v>
                </c:pt>
                <c:pt idx="3">
                  <c:v>78</c:v>
                </c:pt>
                <c:pt idx="4">
                  <c:v>96</c:v>
                </c:pt>
                <c:pt idx="5">
                  <c:v>121</c:v>
                </c:pt>
                <c:pt idx="6">
                  <c:v>145</c:v>
                </c:pt>
                <c:pt idx="7">
                  <c:v>200</c:v>
                </c:pt>
              </c:numCache>
            </c:numRef>
          </c:xVal>
          <c:yVal>
            <c:numRef>
              <c:f>Sheet1!$J$2:$J$9</c:f>
              <c:numCache>
                <c:formatCode>General</c:formatCode>
                <c:ptCount val="8"/>
                <c:pt idx="0">
                  <c:v>-9.6364000000000005E-2</c:v>
                </c:pt>
                <c:pt idx="1">
                  <c:v>-9.3316999999999997E-2</c:v>
                </c:pt>
                <c:pt idx="2">
                  <c:v>-9.2745999999999995E-2</c:v>
                </c:pt>
                <c:pt idx="3">
                  <c:v>-9.2179999999999998E-2</c:v>
                </c:pt>
                <c:pt idx="4">
                  <c:v>-9.1965000000000005E-2</c:v>
                </c:pt>
                <c:pt idx="5">
                  <c:v>-9.1399999999999995E-2</c:v>
                </c:pt>
                <c:pt idx="6">
                  <c:v>-9.1965000000000005E-2</c:v>
                </c:pt>
                <c:pt idx="7">
                  <c:v>-9.1539999999999996E-2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21-460A-A9E6-C14746546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000989"/>
        <c:axId val="563040949"/>
      </c:scatterChart>
      <c:valAx>
        <c:axId val="56100098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endParaRPr lang="en-US"/>
          </a:p>
        </c:txPr>
        <c:crossAx val="563040949"/>
        <c:crosses val="autoZero"/>
        <c:crossBetween val="midCat"/>
      </c:valAx>
      <c:valAx>
        <c:axId val="56304094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endParaRPr lang="en-US"/>
          </a:p>
        </c:txPr>
        <c:crossAx val="56100098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b37416c-38fe-4725-b9cd-14a60bdbb0a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400">
          <a:latin typeface="Times New Roman" panose="02020603050405020304" charset="0"/>
          <a:ea typeface="Times New Roman" panose="02020603050405020304" charset="0"/>
          <a:cs typeface="Times New Roman" panose="02020603050405020304" charset="0"/>
          <a:sym typeface="Times New Roman" panose="0202060305040502030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53974</xdr:colOff>
      <xdr:row>4</xdr:row>
      <xdr:rowOff>29845</xdr:rowOff>
    </xdr:from>
    <xdr:to>
      <xdr:col>23</xdr:col>
      <xdr:colOff>209549</xdr:colOff>
      <xdr:row>25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933450</xdr:colOff>
      <xdr:row>32</xdr:row>
      <xdr:rowOff>47625</xdr:rowOff>
    </xdr:from>
    <xdr:to>
      <xdr:col>15</xdr:col>
      <xdr:colOff>530225</xdr:colOff>
      <xdr:row>52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tabSelected="1" topLeftCell="I1" zoomScale="160" zoomScaleNormal="160" workbookViewId="0">
      <selection activeCell="M15" sqref="M15"/>
    </sheetView>
  </sheetViews>
  <sheetFormatPr defaultColWidth="9.140625" defaultRowHeight="15"/>
  <cols>
    <col min="5" max="5" width="22.7109375" customWidth="1"/>
    <col min="6" max="6" width="9.5703125"/>
    <col min="7" max="8" width="25.85546875" customWidth="1"/>
    <col min="9" max="9" width="20.28515625" customWidth="1"/>
    <col min="11" max="11" width="20.28515625" customWidth="1"/>
    <col min="12" max="12" width="17.42578125" customWidth="1"/>
  </cols>
  <sheetData>
    <row r="1" spans="1:12">
      <c r="A1" t="s">
        <v>0</v>
      </c>
      <c r="B1" t="s">
        <v>1</v>
      </c>
      <c r="C1">
        <v>0.74299999999999999</v>
      </c>
      <c r="E1" t="s">
        <v>2</v>
      </c>
      <c r="F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</row>
    <row r="2" spans="1:12">
      <c r="A2" t="s">
        <v>9</v>
      </c>
      <c r="B2" t="s">
        <v>3</v>
      </c>
      <c r="C2">
        <v>1.2699999999999999E-2</v>
      </c>
      <c r="D2" t="s">
        <v>10</v>
      </c>
      <c r="E2">
        <v>16</v>
      </c>
      <c r="F2">
        <v>1.3468000000000001E-2</v>
      </c>
      <c r="G2">
        <f>F2*10000</f>
        <v>134.68</v>
      </c>
      <c r="H2">
        <f>($C$2-F2)*10000</f>
        <v>-7.6800000000000104</v>
      </c>
      <c r="I2">
        <f>($C$2-F2)/$C$2</f>
        <v>-6.0472440944882001E-2</v>
      </c>
      <c r="J2">
        <v>-9.6364000000000005E-2</v>
      </c>
      <c r="K2">
        <f>($C$3-J2)*10000</f>
        <v>13.64</v>
      </c>
      <c r="L2">
        <f>(C$3-J2)/$C$3</f>
        <v>-1.4357894736842101E-2</v>
      </c>
    </row>
    <row r="3" spans="1:12">
      <c r="B3" t="s">
        <v>11</v>
      </c>
      <c r="C3">
        <v>-9.5000000000000001E-2</v>
      </c>
      <c r="E3">
        <v>33</v>
      </c>
      <c r="F3">
        <v>1.2255E-2</v>
      </c>
      <c r="G3">
        <f t="shared" ref="G3:G9" si="0">F3*10000</f>
        <v>122.55</v>
      </c>
      <c r="H3">
        <f t="shared" ref="H3:H12" si="1">ABS($C$2-F3)*10000</f>
        <v>4.4499999999999904</v>
      </c>
      <c r="I3">
        <f t="shared" ref="I3:I12" si="2">($C$2-F3)/$C$2</f>
        <v>3.5039370078740098E-2</v>
      </c>
      <c r="J3">
        <v>-9.3316999999999997E-2</v>
      </c>
      <c r="K3">
        <f t="shared" ref="K3:K12" si="3">($C$3-J3)*10000</f>
        <v>-16.829999999999998</v>
      </c>
      <c r="L3">
        <f t="shared" ref="L3:L12" si="4">(C$3-J3)/$C$3</f>
        <v>1.7715789473684299E-2</v>
      </c>
    </row>
    <row r="4" spans="1:12">
      <c r="E4">
        <v>53</v>
      </c>
      <c r="F4">
        <v>1.2113000000000001E-2</v>
      </c>
      <c r="G4">
        <f t="shared" si="0"/>
        <v>121.13</v>
      </c>
      <c r="H4">
        <f t="shared" si="1"/>
        <v>5.8699999999999903</v>
      </c>
      <c r="I4">
        <f t="shared" si="2"/>
        <v>4.62204724409448E-2</v>
      </c>
      <c r="J4">
        <v>-9.2745999999999995E-2</v>
      </c>
      <c r="K4">
        <f t="shared" si="3"/>
        <v>-22.540000000000099</v>
      </c>
      <c r="L4">
        <f t="shared" si="4"/>
        <v>2.37263157894737E-2</v>
      </c>
    </row>
    <row r="5" spans="1:12">
      <c r="E5">
        <v>78</v>
      </c>
      <c r="F5">
        <v>1.2187999999999999E-2</v>
      </c>
      <c r="G5">
        <f t="shared" si="0"/>
        <v>121.88</v>
      </c>
      <c r="H5">
        <f t="shared" si="1"/>
        <v>5.12</v>
      </c>
      <c r="I5">
        <f t="shared" si="2"/>
        <v>4.03149606299213E-2</v>
      </c>
      <c r="J5">
        <v>-9.2179999999999998E-2</v>
      </c>
      <c r="K5">
        <f t="shared" si="3"/>
        <v>-28.2</v>
      </c>
      <c r="L5">
        <f t="shared" si="4"/>
        <v>2.9684210526315799E-2</v>
      </c>
    </row>
    <row r="6" spans="1:12">
      <c r="E6">
        <v>96</v>
      </c>
      <c r="F6">
        <v>1.2182E-2</v>
      </c>
      <c r="G6">
        <f t="shared" si="0"/>
        <v>121.82</v>
      </c>
      <c r="H6">
        <f t="shared" si="1"/>
        <v>5.1799999999999899</v>
      </c>
      <c r="I6">
        <f t="shared" si="2"/>
        <v>4.0787401574803102E-2</v>
      </c>
      <c r="J6">
        <v>-9.1965000000000005E-2</v>
      </c>
      <c r="K6">
        <f t="shared" si="3"/>
        <v>-30.35</v>
      </c>
      <c r="L6">
        <f t="shared" si="4"/>
        <v>3.1947368421052599E-2</v>
      </c>
    </row>
    <row r="7" spans="1:12">
      <c r="E7">
        <v>121</v>
      </c>
      <c r="F7">
        <v>1.2184E-2</v>
      </c>
      <c r="G7">
        <f t="shared" si="0"/>
        <v>121.84</v>
      </c>
      <c r="H7">
        <f t="shared" si="1"/>
        <v>5.1599999999999904</v>
      </c>
      <c r="I7">
        <f t="shared" si="2"/>
        <v>4.0629921259842501E-2</v>
      </c>
      <c r="J7">
        <v>-9.1399999999999995E-2</v>
      </c>
      <c r="K7">
        <f t="shared" si="3"/>
        <v>-36.000000000000099</v>
      </c>
      <c r="L7">
        <f t="shared" si="4"/>
        <v>3.78947368421053E-2</v>
      </c>
    </row>
    <row r="8" spans="1:12">
      <c r="E8">
        <v>145</v>
      </c>
      <c r="F8">
        <v>1.2182E-2</v>
      </c>
      <c r="G8">
        <f t="shared" si="0"/>
        <v>121.82</v>
      </c>
      <c r="H8">
        <f t="shared" si="1"/>
        <v>5.1799999999999899</v>
      </c>
      <c r="I8">
        <f t="shared" si="2"/>
        <v>4.0787401574803102E-2</v>
      </c>
      <c r="J8">
        <v>-9.1965000000000005E-2</v>
      </c>
      <c r="K8">
        <f t="shared" si="3"/>
        <v>-30.35</v>
      </c>
      <c r="L8">
        <f t="shared" si="4"/>
        <v>3.1947368421052599E-2</v>
      </c>
    </row>
    <row r="9" spans="1:12">
      <c r="E9">
        <v>200</v>
      </c>
      <c r="F9">
        <v>1.2196E-2</v>
      </c>
      <c r="G9">
        <f t="shared" si="0"/>
        <v>121.96</v>
      </c>
      <c r="H9">
        <f t="shared" si="1"/>
        <v>5.0399999999999903</v>
      </c>
      <c r="I9">
        <f t="shared" si="2"/>
        <v>3.9685039370078702E-2</v>
      </c>
      <c r="J9">
        <v>-9.1539999999999996E-2</v>
      </c>
      <c r="K9">
        <f t="shared" si="3"/>
        <v>-34.6</v>
      </c>
      <c r="L9">
        <f t="shared" si="4"/>
        <v>3.6421052631579E-2</v>
      </c>
    </row>
    <row r="10" spans="1:12">
      <c r="D10" t="s">
        <v>12</v>
      </c>
      <c r="E10">
        <v>78</v>
      </c>
      <c r="F10">
        <v>1.2288E-2</v>
      </c>
      <c r="H10">
        <f t="shared" si="1"/>
        <v>4.1199999999999903</v>
      </c>
      <c r="I10">
        <f t="shared" si="2"/>
        <v>3.2440944881889699E-2</v>
      </c>
      <c r="J10">
        <v>-9.1663999999999995E-2</v>
      </c>
      <c r="K10">
        <f t="shared" si="3"/>
        <v>-33.360000000000099</v>
      </c>
      <c r="L10">
        <f t="shared" si="4"/>
        <v>3.5115789473684302E-2</v>
      </c>
    </row>
    <row r="11" spans="1:12">
      <c r="E11">
        <v>96</v>
      </c>
      <c r="F11">
        <v>1.227E-2</v>
      </c>
      <c r="H11">
        <f t="shared" si="1"/>
        <v>4.3</v>
      </c>
      <c r="I11">
        <f t="shared" si="2"/>
        <v>3.3858267716535398E-2</v>
      </c>
      <c r="J11">
        <v>-9.1616000000000003E-2</v>
      </c>
      <c r="K11">
        <f t="shared" si="3"/>
        <v>-33.840000000000003</v>
      </c>
      <c r="L11">
        <f t="shared" si="4"/>
        <v>3.5621052631578901E-2</v>
      </c>
    </row>
    <row r="12" spans="1:12">
      <c r="E12">
        <v>120</v>
      </c>
      <c r="F12">
        <v>1.2213999999999999E-2</v>
      </c>
      <c r="H12">
        <f t="shared" si="1"/>
        <v>4.8600000000000003</v>
      </c>
      <c r="I12">
        <f t="shared" si="2"/>
        <v>3.8267716535433101E-2</v>
      </c>
      <c r="J12">
        <v>-9.1420000000000001E-2</v>
      </c>
      <c r="K12">
        <f t="shared" si="3"/>
        <v>-35.799999999999997</v>
      </c>
      <c r="L12">
        <f t="shared" si="4"/>
        <v>3.7684210526315799E-2</v>
      </c>
    </row>
    <row r="17" spans="1:1">
      <c r="A17" t="s">
        <v>13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vova1</dc:creator>
  <cp:lastModifiedBy>Владимир Черных</cp:lastModifiedBy>
  <dcterms:created xsi:type="dcterms:W3CDTF">2025-12-04T23:03:00Z</dcterms:created>
  <dcterms:modified xsi:type="dcterms:W3CDTF">2026-06-14T12:22:35Z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21D55D5BA01D40558A6C25D714CE740C_11</vt:lpwstr>
  </property>
  <property fmtid="{D5CDD505-2E9C-101B-9397-08002B2CF9AE}" pid="3" name="KSOProductBuildVer">
    <vt:lpwstr>1033-12.2.0.23196</vt:lpwstr>
  </property>
</Properties>
</file>