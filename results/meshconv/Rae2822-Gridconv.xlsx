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<sst xmlns="http://schemas.openxmlformats.org/spreadsheetml/2006/main" count="15" uniqueCount="14">
  <si>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 xml:space="preserve">Case 6 </t>
  </si>
  <si>
    <t>Cya</t>
  </si>
  <si>
    <t>Nodes*1000</t>
  </si>
  <si>
    <t>Cxa</t>
  </si>
  <si>
    <t>Error Cxa (counts)</t>
  </si>
  <si>
    <t>Rel. error  (Cxa)</t>
  </si>
  <si>
    <t xml:space="preserve">mz </t>
  </si>
  <si>
    <t>error  (counts)</t>
  </si>
  <si>
    <t>Rel. error (mz)</t>
  </si>
  <si>
    <t>RANS-SA</t>
  </si>
  <si>
    <t>pressure</t>
  </si>
  <si>
    <t>mz</t>
  </si>
  <si>
    <t>density</t>
  </si>
  <si>
    <t xml:space="preserve">Графики сходимости - приложены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</si>
</sst>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8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  <a:r>
              <a:rPr lang="ru-RU" altLang="en-US" sz="1680"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rPr>
              <a:t>Сеточная сходимость на </a:t>
            </a:r>
            <a:r>
              <a:rPr altLang="ru-RU" sz="1680"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rPr>
              <a:t>RAE2822 </a:t>
            </a:r>
            <a:endParaRPr altLang="ru-RU" sz="1680"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  <a:sym typeface="Arial" panose="020B0604020202020204" pitchFamily="7" charset="0"/>
            </a:endParaRPr>
          </a:p>
        </c:rich>
      </c:tx>
      <c:layout>
        <c:manualLayout>
          <c:xMode val="edge"/>
          <c:yMode val="edge"/>
          <c:x val="0.222270037654653"/>
          <c:y val="0.026894865525672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"Относительная ошибка Cxa pres"</c:f>
              <c:strCache>
                <c:ptCount val="1"/>
                <c:pt idx="0">
                  <c:v>Относительная ошибка Cxa pres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Sheet1!$E$2:$E$9</c:f>
              <c:numCache>
                <c:formatCode>General</c:formatCode>
                <c:ptCount val="8"/>
                <c:pt idx="0">
                  <c:v>16</c:v>
                </c:pt>
                <c:pt idx="1">
                  <c:v>33</c:v>
                </c:pt>
                <c:pt idx="2">
                  <c:v>53</c:v>
                </c:pt>
                <c:pt idx="3">
                  <c:v>78</c:v>
                </c:pt>
                <c:pt idx="4">
                  <c:v>96</c:v>
                </c:pt>
                <c:pt idx="5">
                  <c:v>121</c:v>
                </c:pt>
                <c:pt idx="6">
                  <c:v>145</c:v>
                </c:pt>
                <c:pt idx="7">
                  <c:v>200</c:v>
                </c:pt>
              </c:numCache>
            </c:numRef>
          </c:xVal>
          <c:yVal>
            <c:numRef>
              <c:f>Sheet1!$G$2:$G$9</c:f>
              <c:numCache>
                <c:formatCode>General</c:formatCode>
                <c:ptCount val="8"/>
                <c:pt idx="0">
                  <c:v>134.68</c:v>
                </c:pt>
                <c:pt idx="1">
                  <c:v>122.55</c:v>
                </c:pt>
                <c:pt idx="2">
                  <c:v>121.13</c:v>
                </c:pt>
                <c:pt idx="3">
                  <c:v>121.88</c:v>
                </c:pt>
                <c:pt idx="4">
                  <c:v>121.82</c:v>
                </c:pt>
                <c:pt idx="5">
                  <c:v>121.84</c:v>
                </c:pt>
                <c:pt idx="6">
                  <c:v>121.82</c:v>
                </c:pt>
                <c:pt idx="7">
                  <c:v>121.96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000989"/>
        <c:axId val="563040949"/>
      </c:scatterChart>
      <c:valAx>
        <c:axId val="561000989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r>
                  <a:rPr lang="ru-RU" altLang="en-US"/>
                  <a:t>Количество ячеек (тысячи)</a:t>
                </a:r>
                <a:endParaRPr lang="ru-RU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563040949"/>
        <c:crosses val="autoZero"/>
        <c:crossBetween val="midCat"/>
      </c:valAx>
      <c:valAx>
        <c:axId val="5630409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r>
                  <a:rPr altLang="ru-RU"/>
                  <a:t>Cxa (counts)</a:t>
                </a:r>
                <a:endParaRPr alt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56100098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7e7b9f8-eb41-4b62-a59d-3d858e62ad0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400">
          <a:latin typeface="Arial" panose="020B0604020202020204" pitchFamily="7" charset="0"/>
          <a:ea typeface="Arial" panose="020B0604020202020204" pitchFamily="7" charset="0"/>
          <a:cs typeface="Arial" panose="020B0604020202020204" pitchFamily="7" charset="0"/>
          <a:sym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8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lang="ru-RU" altLang="en-US"/>
              <a:t>Ошибка </a:t>
            </a:r>
            <a:r>
              <a:rPr altLang="ru-RU"/>
              <a:t>mz</a:t>
            </a:r>
            <a:endParaRPr alt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"Относительная ошибка mz pres"</c:f>
              <c:strCache>
                <c:ptCount val="1"/>
                <c:pt idx="0">
                  <c:v>Относительная ошибка mz pres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Sheet1!$E$2:$E$9</c:f>
              <c:numCache>
                <c:formatCode>General</c:formatCode>
                <c:ptCount val="8"/>
                <c:pt idx="0">
                  <c:v>16</c:v>
                </c:pt>
                <c:pt idx="1">
                  <c:v>33</c:v>
                </c:pt>
                <c:pt idx="2">
                  <c:v>53</c:v>
                </c:pt>
                <c:pt idx="3">
                  <c:v>78</c:v>
                </c:pt>
                <c:pt idx="4">
                  <c:v>96</c:v>
                </c:pt>
                <c:pt idx="5">
                  <c:v>121</c:v>
                </c:pt>
                <c:pt idx="6">
                  <c:v>145</c:v>
                </c:pt>
                <c:pt idx="7">
                  <c:v>200</c:v>
                </c:pt>
              </c:numCache>
            </c:numRef>
          </c:xVal>
          <c:yVal>
            <c:numRef>
              <c:f>Sheet1!$J$2:$J$9</c:f>
              <c:numCache>
                <c:formatCode>General</c:formatCode>
                <c:ptCount val="8"/>
                <c:pt idx="0">
                  <c:v>-0.096364</c:v>
                </c:pt>
                <c:pt idx="1">
                  <c:v>-0.093317</c:v>
                </c:pt>
                <c:pt idx="2">
                  <c:v>-0.092746</c:v>
                </c:pt>
                <c:pt idx="3">
                  <c:v>-0.09218</c:v>
                </c:pt>
                <c:pt idx="4">
                  <c:v>-0.091965</c:v>
                </c:pt>
                <c:pt idx="5">
                  <c:v>-0.0914</c:v>
                </c:pt>
                <c:pt idx="6">
                  <c:v>-0.091965</c:v>
                </c:pt>
                <c:pt idx="7">
                  <c:v>-0.09154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000989"/>
        <c:axId val="563040949"/>
      </c:scatterChart>
      <c:valAx>
        <c:axId val="56100098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563040949"/>
        <c:crosses val="autoZero"/>
        <c:crossBetween val="midCat"/>
      </c:valAx>
      <c:valAx>
        <c:axId val="5630409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56100098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37416c-38fe-4725-b9cd-14a60bdbb0a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4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53975</xdr:colOff>
      <xdr:row>4</xdr:row>
      <xdr:rowOff>29845</xdr:rowOff>
    </xdr:from>
    <xdr:to>
      <xdr:col>23</xdr:col>
      <xdr:colOff>84455</xdr:colOff>
      <xdr:row>25</xdr:row>
      <xdr:rowOff>144145</xdr:rowOff>
    </xdr:to>
    <xdr:graphicFrame>
      <xdr:nvGraphicFramePr>
        <xdr:cNvPr id="3" name="Chart 2"/>
        <xdr:cNvGraphicFramePr/>
      </xdr:nvGraphicFramePr>
      <xdr:xfrm>
        <a:off x="13179425" y="791845"/>
        <a:ext cx="6126480" cy="411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933450</xdr:colOff>
      <xdr:row>32</xdr:row>
      <xdr:rowOff>47625</xdr:rowOff>
    </xdr:from>
    <xdr:to>
      <xdr:col>15</xdr:col>
      <xdr:colOff>530225</xdr:colOff>
      <xdr:row>52</xdr:row>
      <xdr:rowOff>133350</xdr:rowOff>
    </xdr:to>
    <xdr:graphicFrame>
      <xdr:nvGraphicFramePr>
        <xdr:cNvPr id="4" name="Chart 3"/>
        <xdr:cNvGraphicFramePr/>
      </xdr:nvGraphicFramePr>
      <xdr:xfrm>
        <a:off x="8972550" y="6143625"/>
        <a:ext cx="5902325" cy="3895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workbookViewId="0">
      <selection activeCell="L28" sqref="L28"/>
    </sheetView>
  </sheetViews>
  <sheetFormatPr defaultColWidth="9.14285714285714" defaultRowHeight="15"/>
  <cols>
    <col min="5" max="5" width="22.7142857142857" customWidth="1"/>
    <col min="6" max="6" width="9.57142857142857"/>
    <col min="7" max="8" width="25.8571428571429" customWidth="1"/>
    <col min="9" max="9" width="20.2857142857143" customWidth="1"/>
    <col min="11" max="11" width="20.2857142857143" customWidth="1"/>
    <col min="12" max="12" width="17.4285714285714" customWidth="1"/>
  </cols>
  <sheetData>
    <row r="1" spans="1:12">
      <c r="A1" t="s">
        <v>0</v>
      </c>
      <c r="B1" t="s">
        <v>1</v>
      </c>
      <c r="C1">
        <v>0.743</v>
      </c>
      <c r="E1" t="s">
        <v>2</v>
      </c>
      <c r="F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</row>
    <row r="2" spans="1:12">
      <c r="A2" t="s">
        <v>9</v>
      </c>
      <c r="B2" t="s">
        <v>3</v>
      </c>
      <c r="C2">
        <v>0.0127</v>
      </c>
      <c r="D2" t="s">
        <v>10</v>
      </c>
      <c r="E2">
        <v>16</v>
      </c>
      <c r="F2">
        <v>0.013468</v>
      </c>
      <c r="G2">
        <f>F2*10000</f>
        <v>134.68</v>
      </c>
      <c r="H2">
        <f>($C$2-F2)*10000</f>
        <v>-7.68000000000001</v>
      </c>
      <c r="I2">
        <f>($C$2-F2)/$C$2</f>
        <v>-0.060472440944882</v>
      </c>
      <c r="J2">
        <v>-0.096364</v>
      </c>
      <c r="K2">
        <f>($C$3-J2)*10000</f>
        <v>13.64</v>
      </c>
      <c r="L2">
        <f>(C$3-J2)/$C$3</f>
        <v>-0.0143578947368421</v>
      </c>
    </row>
    <row r="3" spans="2:12">
      <c r="B3" t="s">
        <v>11</v>
      </c>
      <c r="C3">
        <v>-0.095</v>
      </c>
      <c r="E3">
        <v>33</v>
      </c>
      <c r="F3">
        <v>0.012255</v>
      </c>
      <c r="G3">
        <f t="shared" ref="G3:G9" si="0">F3*10000</f>
        <v>122.55</v>
      </c>
      <c r="H3">
        <f t="shared" ref="H3:H12" si="1">ABS($C$2-F3)*10000</f>
        <v>4.44999999999999</v>
      </c>
      <c r="I3">
        <f t="shared" ref="I3:I12" si="2">($C$2-F3)/$C$2</f>
        <v>0.0350393700787401</v>
      </c>
      <c r="J3">
        <v>-0.093317</v>
      </c>
      <c r="K3">
        <f t="shared" ref="K3:K12" si="3">($C$3-J3)*10000</f>
        <v>-16.83</v>
      </c>
      <c r="L3">
        <f t="shared" ref="L3:L12" si="4">(C$3-J3)/$C$3</f>
        <v>0.0177157894736843</v>
      </c>
    </row>
    <row r="4" spans="5:12">
      <c r="E4">
        <v>53</v>
      </c>
      <c r="F4">
        <v>0.012113</v>
      </c>
      <c r="G4">
        <f t="shared" si="0"/>
        <v>121.13</v>
      </c>
      <c r="H4">
        <f t="shared" si="1"/>
        <v>5.86999999999999</v>
      </c>
      <c r="I4">
        <f t="shared" si="2"/>
        <v>0.0462204724409448</v>
      </c>
      <c r="J4">
        <v>-0.092746</v>
      </c>
      <c r="K4">
        <f t="shared" si="3"/>
        <v>-22.5400000000001</v>
      </c>
      <c r="L4">
        <f t="shared" si="4"/>
        <v>0.0237263157894737</v>
      </c>
    </row>
    <row r="5" spans="5:12">
      <c r="E5">
        <v>78</v>
      </c>
      <c r="F5">
        <v>0.012188</v>
      </c>
      <c r="G5">
        <f t="shared" si="0"/>
        <v>121.88</v>
      </c>
      <c r="H5">
        <f t="shared" si="1"/>
        <v>5.12</v>
      </c>
      <c r="I5">
        <f t="shared" si="2"/>
        <v>0.0403149606299213</v>
      </c>
      <c r="J5">
        <v>-0.09218</v>
      </c>
      <c r="K5">
        <f t="shared" si="3"/>
        <v>-28.2</v>
      </c>
      <c r="L5">
        <f t="shared" si="4"/>
        <v>0.0296842105263158</v>
      </c>
    </row>
    <row r="6" spans="5:12">
      <c r="E6">
        <v>96</v>
      </c>
      <c r="F6">
        <v>0.012182</v>
      </c>
      <c r="G6">
        <f t="shared" si="0"/>
        <v>121.82</v>
      </c>
      <c r="H6">
        <f t="shared" si="1"/>
        <v>5.17999999999999</v>
      </c>
      <c r="I6">
        <f t="shared" si="2"/>
        <v>0.0407874015748031</v>
      </c>
      <c r="J6">
        <v>-0.091965</v>
      </c>
      <c r="K6">
        <f t="shared" si="3"/>
        <v>-30.35</v>
      </c>
      <c r="L6">
        <f t="shared" si="4"/>
        <v>0.0319473684210526</v>
      </c>
    </row>
    <row r="7" spans="5:12">
      <c r="E7">
        <v>121</v>
      </c>
      <c r="F7">
        <v>0.012184</v>
      </c>
      <c r="G7">
        <f t="shared" si="0"/>
        <v>121.84</v>
      </c>
      <c r="H7">
        <f t="shared" si="1"/>
        <v>5.15999999999999</v>
      </c>
      <c r="I7">
        <f t="shared" si="2"/>
        <v>0.0406299212598425</v>
      </c>
      <c r="J7">
        <v>-0.0914</v>
      </c>
      <c r="K7">
        <f t="shared" si="3"/>
        <v>-36.0000000000001</v>
      </c>
      <c r="L7">
        <f t="shared" si="4"/>
        <v>0.0378947368421053</v>
      </c>
    </row>
    <row r="8" spans="5:12">
      <c r="E8">
        <v>145</v>
      </c>
      <c r="F8">
        <v>0.012182</v>
      </c>
      <c r="G8">
        <f t="shared" si="0"/>
        <v>121.82</v>
      </c>
      <c r="H8">
        <f t="shared" si="1"/>
        <v>5.17999999999999</v>
      </c>
      <c r="I8">
        <f t="shared" si="2"/>
        <v>0.0407874015748031</v>
      </c>
      <c r="J8">
        <v>-0.091965</v>
      </c>
      <c r="K8">
        <f t="shared" si="3"/>
        <v>-30.35</v>
      </c>
      <c r="L8">
        <f t="shared" si="4"/>
        <v>0.0319473684210526</v>
      </c>
    </row>
    <row r="9" spans="5:12">
      <c r="E9">
        <v>200</v>
      </c>
      <c r="F9">
        <v>0.012196</v>
      </c>
      <c r="G9">
        <f t="shared" si="0"/>
        <v>121.96</v>
      </c>
      <c r="H9">
        <f t="shared" si="1"/>
        <v>5.03999999999999</v>
      </c>
      <c r="I9">
        <f t="shared" si="2"/>
        <v>0.0396850393700787</v>
      </c>
      <c r="J9">
        <v>-0.09154</v>
      </c>
      <c r="K9">
        <f t="shared" si="3"/>
        <v>-34.6</v>
      </c>
      <c r="L9">
        <f t="shared" si="4"/>
        <v>0.036421052631579</v>
      </c>
    </row>
    <row r="10" spans="4:12">
      <c r="D10" t="s">
        <v>12</v>
      </c>
      <c r="E10">
        <v>78</v>
      </c>
      <c r="F10">
        <v>0.012288</v>
      </c>
      <c r="H10">
        <f t="shared" si="1"/>
        <v>4.11999999999999</v>
      </c>
      <c r="I10">
        <f t="shared" si="2"/>
        <v>0.0324409448818897</v>
      </c>
      <c r="J10">
        <v>-0.091664</v>
      </c>
      <c r="K10">
        <f t="shared" si="3"/>
        <v>-33.3600000000001</v>
      </c>
      <c r="L10">
        <f t="shared" si="4"/>
        <v>0.0351157894736843</v>
      </c>
    </row>
    <row r="11" spans="5:12">
      <c r="E11">
        <v>96</v>
      </c>
      <c r="F11">
        <v>0.01227</v>
      </c>
      <c r="H11">
        <f t="shared" si="1"/>
        <v>4.3</v>
      </c>
      <c r="I11">
        <f t="shared" si="2"/>
        <v>0.0338582677165354</v>
      </c>
      <c r="J11">
        <v>-0.091616</v>
      </c>
      <c r="K11">
        <f t="shared" si="3"/>
        <v>-33.84</v>
      </c>
      <c r="L11">
        <f t="shared" si="4"/>
        <v>0.0356210526315789</v>
      </c>
    </row>
    <row r="12" spans="5:12">
      <c r="E12">
        <v>120</v>
      </c>
      <c r="F12">
        <v>0.012214</v>
      </c>
      <c r="H12">
        <f t="shared" si="1"/>
        <v>4.86</v>
      </c>
      <c r="I12">
        <f t="shared" si="2"/>
        <v>0.0382677165354331</v>
      </c>
      <c r="J12">
        <v>-0.09142</v>
      </c>
      <c r="K12">
        <f t="shared" si="3"/>
        <v>-35.8</v>
      </c>
      <c r="L12">
        <f t="shared" si="4"/>
        <v>0.0376842105263158</v>
      </c>
    </row>
    <row r="17" spans="1:1">
      <c r="A17" t="s">
        <v>13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vova1</dc:creator>
  <cp:lastModifiedBy>Vladimir Chernykh</cp:lastModifiedBy>
  <dcterms:created xsi:type="dcterms:W3CDTF">2025-12-04T23:03:00Z</dcterms:created>
  <dcterms:modified xsi:type="dcterms:W3CDTF">2025-12-22T02:19:59Z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21D55D5BA01D40558A6C25D714CE740C_11</vt:lpwstr>
  </property>
  <property fmtid="{D5CDD505-2E9C-101B-9397-08002B2CF9AE}" pid="3" name="KSOProductBuildVer">
    <vt:lpwstr>1033-12.2.0.23196</vt:lpwstr>
  </property>
</Properties>
</file>